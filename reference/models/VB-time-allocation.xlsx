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ckinsey.sharepoint.com/sites/spe-int-7r4ka1jda9/Shared Documents/02 Background Documents/Survey results/"/>
    </mc:Choice>
  </mc:AlternateContent>
  <xr:revisionPtr revIDLastSave="3" documentId="11_646E0C18B8A3498B18BBFD51D20C5EADDB42ADBD" xr6:coauthVersionLast="47" xr6:coauthVersionMax="47" xr10:uidLastSave="{BCB4D5CA-0264-473B-9EC3-78EA83158396}"/>
  <bookViews>
    <workbookView xWindow="-110" yWindow="-110" windowWidth="19420" windowHeight="11500" xr2:uid="{FE8227EC-87DD-4FA0-B886-982506A5AFD4}"/>
  </bookViews>
  <sheets>
    <sheet name="Clean time allocation" sheetId="1" r:id="rId1"/>
  </sheets>
  <externalReferences>
    <externalReference r:id="rId2"/>
  </externalReferences>
  <definedNames>
    <definedName name="_xlnm._FilterDatabase" localSheetId="0" hidden="1">'Clean time allocation'!$A$2:$D$75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75" i="1"/>
  <c r="E74" i="1"/>
  <c r="E73" i="1"/>
  <c r="E72" i="1"/>
  <c r="E71" i="1"/>
  <c r="E70" i="1"/>
  <c r="E69" i="1"/>
  <c r="E68" i="1"/>
  <c r="E67" i="1"/>
  <c r="E66" i="1"/>
  <c r="E49" i="1"/>
  <c r="E48" i="1"/>
  <c r="D47" i="1"/>
  <c r="E46" i="1"/>
  <c r="D46" i="1"/>
  <c r="E45" i="1"/>
  <c r="C45" i="1"/>
  <c r="D45" i="1" s="1"/>
  <c r="E44" i="1"/>
  <c r="D44" i="1"/>
  <c r="D43" i="1"/>
  <c r="E42" i="1"/>
  <c r="D42" i="1"/>
  <c r="E41" i="1"/>
  <c r="D41" i="1"/>
  <c r="E40" i="1"/>
  <c r="E39" i="1"/>
  <c r="E38" i="1"/>
  <c r="D38" i="1"/>
  <c r="D37" i="1"/>
  <c r="E36" i="1"/>
  <c r="D36" i="1"/>
  <c r="E35" i="1"/>
  <c r="D35" i="1"/>
  <c r="E34" i="1"/>
  <c r="D34" i="1"/>
  <c r="E33" i="1"/>
  <c r="D33" i="1"/>
  <c r="E32" i="1"/>
  <c r="D32" i="1"/>
  <c r="E31" i="1"/>
  <c r="E30" i="1"/>
  <c r="E29" i="1"/>
  <c r="E28" i="1"/>
  <c r="D28" i="1"/>
  <c r="E27" i="1"/>
  <c r="D27" i="1"/>
  <c r="E26" i="1"/>
  <c r="D26" i="1"/>
  <c r="C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C19" i="1"/>
  <c r="D19" i="1" s="1"/>
  <c r="E18" i="1"/>
  <c r="E17" i="1"/>
  <c r="E16" i="1"/>
  <c r="E15" i="1"/>
  <c r="D15" i="1"/>
  <c r="C15" i="1"/>
  <c r="E14" i="1"/>
  <c r="D14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6" i="1"/>
  <c r="D6" i="1"/>
  <c r="E5" i="1"/>
  <c r="D5" i="1"/>
  <c r="E4" i="1"/>
  <c r="D4" i="1"/>
  <c r="D3" i="1"/>
</calcChain>
</file>

<file path=xl/sharedStrings.xml><?xml version="1.0" encoding="utf-8"?>
<sst xmlns="http://schemas.openxmlformats.org/spreadsheetml/2006/main" count="157" uniqueCount="75">
  <si>
    <t>Manager estimate</t>
  </si>
  <si>
    <t>Self reported</t>
  </si>
  <si>
    <t>Worker Group</t>
  </si>
  <si>
    <t>Activity</t>
  </si>
  <si>
    <t>Percentage of Time</t>
  </si>
  <si>
    <t>Minutes/Day</t>
  </si>
  <si>
    <t>Percentage of time</t>
  </si>
  <si>
    <t>Task Clarification</t>
  </si>
  <si>
    <t>SSRs</t>
  </si>
  <si>
    <t>MTS Changes</t>
  </si>
  <si>
    <t>Reactive Order Status / Tracking</t>
  </si>
  <si>
    <t>Working Open Orders</t>
  </si>
  <si>
    <t>Proactive follow ups on status, checking on shipments, deco and such</t>
  </si>
  <si>
    <t>Core Order Changes</t>
  </si>
  <si>
    <t>Changes to the order like subbing a product, canceling, etc</t>
  </si>
  <si>
    <t>Consolidating MTS</t>
  </si>
  <si>
    <t>AP/AR</t>
  </si>
  <si>
    <t>Returns/Replacements</t>
  </si>
  <si>
    <t>Pushing Carts</t>
  </si>
  <si>
    <t>Label Requests</t>
  </si>
  <si>
    <t>Invoicing Questions</t>
  </si>
  <si>
    <t>Comp Goods</t>
  </si>
  <si>
    <t>MTS Credits</t>
  </si>
  <si>
    <t>Break/ OOO</t>
  </si>
  <si>
    <t xml:space="preserve"> Internal communications (e.g. email/ calls to FSPs)</t>
  </si>
  <si>
    <t xml:space="preserve"> Meetings (e.g. team meetings, townhalls)</t>
  </si>
  <si>
    <t>Other</t>
  </si>
  <si>
    <t>TMs</t>
  </si>
  <si>
    <t>Quote Cart</t>
  </si>
  <si>
    <t>Fact Finding</t>
  </si>
  <si>
    <t>Purchase Order</t>
  </si>
  <si>
    <t>Content Creation</t>
  </si>
  <si>
    <t>Rewards agreement</t>
  </si>
  <si>
    <t>Update contact info</t>
  </si>
  <si>
    <t>Freight Quote</t>
  </si>
  <si>
    <t xml:space="preserve">Meeting Time </t>
  </si>
  <si>
    <t>Other (Adidas, BSN Construction, Corporate, bid, Training)</t>
  </si>
  <si>
    <t>Internal Communications</t>
  </si>
  <si>
    <t>External communications</t>
  </si>
  <si>
    <t>R+R</t>
  </si>
  <si>
    <t>New Cases (intake, clarifying questions)</t>
  </si>
  <si>
    <t>Order Entry  + other activities (ZREP/RE)</t>
  </si>
  <si>
    <t>Order management (ZREP Status Review, RE Status Review)</t>
  </si>
  <si>
    <t>Responses/Emails</t>
  </si>
  <si>
    <t>External Comms (Vendor RAs)</t>
  </si>
  <si>
    <t>OOO Folder</t>
  </si>
  <si>
    <t>Covering for staff out of office</t>
  </si>
  <si>
    <t>Meetings</t>
  </si>
  <si>
    <t>Comp Pod</t>
  </si>
  <si>
    <t>New Cases intake</t>
  </si>
  <si>
    <t xml:space="preserve"> Order Entry activities</t>
  </si>
  <si>
    <t>Review Folders</t>
  </si>
  <si>
    <t>Managing Stock issues</t>
  </si>
  <si>
    <t>Responses/Emails/ Follow-up</t>
  </si>
  <si>
    <t>Transitions between tasks</t>
  </si>
  <si>
    <t>MTS (non-peak)</t>
  </si>
  <si>
    <t>New Build</t>
  </si>
  <si>
    <t>Down Time</t>
  </si>
  <si>
    <t>Edit</t>
  </si>
  <si>
    <t>Email</t>
  </si>
  <si>
    <t>Follow Up</t>
  </si>
  <si>
    <t>Learning &amp; Development</t>
  </si>
  <si>
    <t>Shop Launch</t>
  </si>
  <si>
    <t>Questions/Issues</t>
  </si>
  <si>
    <t>MTS (peak)</t>
  </si>
  <si>
    <t>MTS</t>
  </si>
  <si>
    <t>New build</t>
  </si>
  <si>
    <t>Shop edits</t>
  </si>
  <si>
    <t>Art submission</t>
  </si>
  <si>
    <t xml:space="preserve"> Internal communication (Emails/ Calls to FSPs)</t>
  </si>
  <si>
    <t xml:space="preserve"> External communications (e.g. emails/ calls to vendors)</t>
  </si>
  <si>
    <t xml:space="preserve"> Shop Launch</t>
  </si>
  <si>
    <t xml:space="preserve"> Issue Resolution / Q&amp; A</t>
  </si>
  <si>
    <t xml:space="preserve"> Breaks</t>
  </si>
  <si>
    <t xml:space="preserve"> Other activities (specify activity and provide details on the following page)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</si>
</sst>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1"/>
      <color indexed="8"/>
      <name val="Cambria"/>
      <family val="1"/>
    </font>
    <font>
      <sz val="11"/>
      <color indexed="8"/>
      <name val="Cambria"/>
      <family val="1"/>
    </font>
    <font>
      <sz val="11"/>
      <color rgb="FF000000"/>
      <name val="Cambria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center" vertical="top"/>
    </xf>
    <xf numFmtId="0" fontId="3" fillId="0" borderId="1" xfId="0" applyFont="1" applyBorder="1" applyAlignment="1">
      <alignment horizontal="center" vertical="top"/>
    </xf>
    <xf numFmtId="9" fontId="4" fillId="0" borderId="1" xfId="1" applyFont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0" fontId="3" fillId="0" borderId="2" xfId="0" applyFont="1" applyBorder="1"/>
    <xf numFmtId="0" fontId="2" fillId="0" borderId="2" xfId="0" applyFont="1" applyBorder="1" applyAlignment="1">
      <alignment horizontal="center" vertical="top"/>
    </xf>
    <xf numFmtId="164" fontId="2" fillId="0" borderId="2" xfId="1" applyNumberFormat="1" applyFont="1" applyBorder="1" applyAlignment="1">
      <alignment horizontal="center" vertical="top"/>
    </xf>
    <xf numFmtId="1" fontId="2" fillId="0" borderId="2" xfId="0" applyNumberFormat="1" applyFont="1" applyBorder="1" applyAlignment="1">
      <alignment horizontal="center" vertical="top"/>
    </xf>
    <xf numFmtId="9" fontId="2" fillId="0" borderId="2" xfId="1" applyFont="1" applyBorder="1" applyAlignment="1">
      <alignment horizontal="center" vertical="top"/>
    </xf>
    <xf numFmtId="0" fontId="2" fillId="0" borderId="2" xfId="0" applyFont="1" applyBorder="1"/>
    <xf numFmtId="0" fontId="2" fillId="0" borderId="0" xfId="0" applyFont="1" applyAlignment="1">
      <alignment horizontal="center"/>
    </xf>
    <xf numFmtId="0" fontId="5" fillId="0" borderId="2" xfId="0" applyFont="1" applyBorder="1" applyAlignment="1">
      <alignment horizontal="center" vertical="top"/>
    </xf>
    <xf numFmtId="9" fontId="5" fillId="0" borderId="2" xfId="1" applyFont="1" applyBorder="1" applyAlignment="1">
      <alignment horizontal="center" vertical="top"/>
    </xf>
    <xf numFmtId="1" fontId="5" fillId="0" borderId="2" xfId="0" applyNumberFormat="1" applyFont="1" applyBorder="1" applyAlignment="1">
      <alignment horizontal="center" vertical="top"/>
    </xf>
    <xf numFmtId="9" fontId="5" fillId="0" borderId="2" xfId="1" applyFont="1" applyFill="1" applyBorder="1" applyAlignment="1">
      <alignment horizontal="center" vertical="top"/>
    </xf>
    <xf numFmtId="1" fontId="5" fillId="0" borderId="2" xfId="0" applyNumberFormat="1" applyFont="1" applyBorder="1"/>
    <xf numFmtId="0" fontId="6" fillId="0" borderId="2" xfId="0" applyFont="1" applyBorder="1" applyAlignment="1">
      <alignment horizontal="center" vertical="top"/>
    </xf>
    <xf numFmtId="9" fontId="6" fillId="0" borderId="2" xfId="0" applyNumberFormat="1" applyFont="1" applyBorder="1" applyAlignment="1">
      <alignment horizontal="center" vertical="top"/>
    </xf>
    <xf numFmtId="0" fontId="2" fillId="2" borderId="2" xfId="0" applyFont="1" applyFill="1" applyBorder="1" applyAlignment="1">
      <alignment horizontal="center" vertical="top"/>
    </xf>
    <xf numFmtId="164" fontId="2" fillId="2" borderId="2" xfId="1" applyNumberFormat="1" applyFont="1" applyFill="1" applyBorder="1" applyAlignment="1">
      <alignment horizontal="center" vertical="top"/>
    </xf>
    <xf numFmtId="1" fontId="2" fillId="2" borderId="2" xfId="0" applyNumberFormat="1" applyFont="1" applyFill="1" applyBorder="1" applyAlignment="1">
      <alignment horizontal="center" vertical="top"/>
    </xf>
    <xf numFmtId="9" fontId="2" fillId="2" borderId="2" xfId="1" applyFont="1" applyFill="1" applyBorder="1" applyAlignment="1">
      <alignment horizontal="center" vertical="top"/>
    </xf>
    <xf numFmtId="0" fontId="2" fillId="2" borderId="2" xfId="0" applyFont="1" applyFill="1" applyBorder="1"/>
    <xf numFmtId="0" fontId="0" fillId="2" borderId="0" xfId="0" applyFill="1"/>
    <xf numFmtId="0" fontId="2" fillId="2" borderId="2" xfId="0" applyFont="1" applyFill="1" applyBorder="1" applyAlignment="1">
      <alignment wrapText="1"/>
    </xf>
    <xf numFmtId="0" fontId="5" fillId="2" borderId="2" xfId="0" applyFont="1" applyFill="1" applyBorder="1" applyAlignment="1">
      <alignment horizontal="center" vertical="top"/>
    </xf>
    <xf numFmtId="9" fontId="5" fillId="2" borderId="2" xfId="1" applyFont="1" applyFill="1" applyBorder="1" applyAlignment="1">
      <alignment horizontal="center" vertical="top"/>
    </xf>
    <xf numFmtId="1" fontId="5" fillId="2" borderId="2" xfId="0" applyNumberFormat="1" applyFont="1" applyFill="1" applyBorder="1" applyAlignment="1">
      <alignment horizontal="center" vertical="top"/>
    </xf>
    <xf numFmtId="1" fontId="5" fillId="2" borderId="2" xfId="0" applyNumberFormat="1" applyFont="1" applyFill="1" applyBorder="1"/>
    <xf numFmtId="0" fontId="0" fillId="2" borderId="2" xfId="0" applyFill="1" applyBorder="1"/>
    <xf numFmtId="0" fontId="6" fillId="2" borderId="2" xfId="0" applyFont="1" applyFill="1" applyBorder="1" applyAlignment="1">
      <alignment horizontal="center" vertical="top"/>
    </xf>
    <xf numFmtId="9" fontId="6" fillId="2" borderId="2" xfId="0" applyNumberFormat="1" applyFont="1" applyFill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ensc\AppData\Local\Box\Box%20Edit\Documents\Pme2WQSkeUO9UTo9HjsR1Q==\Sales%20Support%20Model_v13.xlsx" TargetMode="External"/><Relationship Id="rId1" Type="http://schemas.openxmlformats.org/officeDocument/2006/relationships/externalLinkPath" Target="file:///C:\Users\bensc\AppData\Local\Box\Box%20Edit\Documents\Pme2WQSkeUO9UTo9HjsR1Q==\Sales%20Support%20Model_v1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pdated Capacity Model -&gt;"/>
      <sheetName val="Updated Capacity Model"/>
      <sheetName val="Survey Results_ Assumptions"/>
      <sheetName val="Clean time allocation"/>
      <sheetName val="Old_Capacity Model -&gt;"/>
      <sheetName val="Capacity Model"/>
      <sheetName val="Pods_TM_SSR_time allocation"/>
      <sheetName val="Assumptions on time spent"/>
      <sheetName val="FSP Survey Results Analysis -&gt;"/>
      <sheetName val="Survey Results Summarized"/>
      <sheetName val="VP_RSD completion metrics"/>
      <sheetName val="TM Individual NPS"/>
      <sheetName val="SSR Individual NPS"/>
      <sheetName val="FSP Survey Raw Data"/>
      <sheetName val="TM Action Plan"/>
      <sheetName val="Sales Support Survey Results"/>
      <sheetName val="Manager Raw Results"/>
      <sheetName val="Staff Raw Results"/>
      <sheetName val="TM Survey data"/>
      <sheetName val="SSR Survey Data"/>
      <sheetName val="Comp Pod Survey Data"/>
      <sheetName val="R+R Pod Survey Data"/>
      <sheetName val="MTS Pod Survey Data"/>
      <sheetName val="Customer Care Survey Data"/>
      <sheetName val="Data tabs -&gt;"/>
      <sheetName val="ASM Alignment"/>
      <sheetName val="ASM Staffing Sheet"/>
      <sheetName val="TM Staffing Sheet"/>
      <sheetName val="Master CX_Case Data"/>
      <sheetName val="CX_Sense check"/>
      <sheetName val="Master TM Data Cleaned"/>
      <sheetName val="FSP_SSR_TM_Map"/>
      <sheetName val="Master SSR Cleaned"/>
      <sheetName val="Master MTS Cleaned"/>
      <sheetName val="Master Comp Pod Cleaned"/>
      <sheetName val="Master RnR Pod Cleaned"/>
      <sheetName val="Workday_SSRs"/>
      <sheetName val="Workday_TMs"/>
      <sheetName val="Workday_Pods"/>
      <sheetName val="CX_Roster_Match"/>
      <sheetName val="TM Hire Date"/>
      <sheetName val="SSR Hire Date"/>
      <sheetName val="Other Raw Data"/>
      <sheetName val="CX_Matching"/>
      <sheetName val="Old_TM Cleaned"/>
      <sheetName val="Old_FSP to TM data"/>
      <sheetName val="MTS Pod"/>
      <sheetName val="Comp Pod"/>
      <sheetName val="R+R Pod"/>
      <sheetName val="FSP to SSR"/>
      <sheetName val="FSP to TM_with YTD Aug"/>
      <sheetName val="Pods Assignments"/>
      <sheetName val="R+R_Comp"/>
      <sheetName val="Not used -&gt;"/>
      <sheetName val="TM Email list"/>
      <sheetName val="SSR Email list"/>
      <sheetName val="Pod Analysis"/>
      <sheetName val="CX List"/>
    </sheetNames>
    <sheetDataSet>
      <sheetData sheetId="0" refreshError="1"/>
      <sheetData sheetId="1" refreshError="1"/>
      <sheetData sheetId="2" refreshError="1">
        <row r="16">
          <cell r="C16">
            <v>0.35936249999999997</v>
          </cell>
          <cell r="D16">
            <v>0.23328749999999998</v>
          </cell>
          <cell r="E16">
            <v>1.2975E-2</v>
          </cell>
          <cell r="F16">
            <v>3.2362500000000002E-2</v>
          </cell>
          <cell r="G16">
            <v>1.52625E-2</v>
          </cell>
          <cell r="I16">
            <v>5.212500000000001E-3</v>
          </cell>
          <cell r="J16">
            <v>1.7400000000000002E-2</v>
          </cell>
          <cell r="K16">
            <v>2.22375E-2</v>
          </cell>
          <cell r="L16">
            <v>8.1599999999999992E-2</v>
          </cell>
          <cell r="M16">
            <v>6.3899999999999998E-2</v>
          </cell>
          <cell r="N16">
            <v>3.9600000000000003E-2</v>
          </cell>
          <cell r="O16">
            <v>7.4625000000000013E-3</v>
          </cell>
          <cell r="P16">
            <v>0.1</v>
          </cell>
        </row>
        <row r="73">
          <cell r="C73">
            <v>1.4255172413793102E-2</v>
          </cell>
          <cell r="D73">
            <v>5.7344827586206897E-2</v>
          </cell>
          <cell r="E73">
            <v>3.1541379310344828E-2</v>
          </cell>
          <cell r="F73">
            <v>1.306896551724138E-2</v>
          </cell>
          <cell r="G73">
            <v>8.4206896551724142E-2</v>
          </cell>
          <cell r="H73">
            <v>0.32709655172413787</v>
          </cell>
          <cell r="I73">
            <v>0.1123103448275862</v>
          </cell>
          <cell r="J73">
            <v>3.2958620689655167E-2</v>
          </cell>
          <cell r="K73">
            <v>2.7758620689655174E-2</v>
          </cell>
          <cell r="L73">
            <v>2.193103448275862E-2</v>
          </cell>
          <cell r="M73">
            <v>3.5586206896551724E-2</v>
          </cell>
          <cell r="N73">
            <v>1.9448275862068965E-3</v>
          </cell>
          <cell r="O73">
            <v>0.13937931034482759</v>
          </cell>
          <cell r="P73">
            <v>1.8168965517241377E-2</v>
          </cell>
          <cell r="Q73">
            <v>6.5000000000000002E-2</v>
          </cell>
          <cell r="R73">
            <v>1.7448275862068964E-2</v>
          </cell>
        </row>
        <row r="144">
          <cell r="C144">
            <v>0.15259259259259259</v>
          </cell>
          <cell r="D144">
            <v>0.17851851851851852</v>
          </cell>
          <cell r="E144">
            <v>0.1788888888888889</v>
          </cell>
          <cell r="G144">
            <v>0.1277777777777778</v>
          </cell>
          <cell r="I144">
            <v>5.4814814814814816E-2</v>
          </cell>
          <cell r="J144">
            <v>8.2962962962962961E-2</v>
          </cell>
          <cell r="K144">
            <v>3.3333333333333333E-2</v>
          </cell>
        </row>
        <row r="207">
          <cell r="C207">
            <v>0.31679999999999997</v>
          </cell>
          <cell r="D207">
            <v>0.18160000000000001</v>
          </cell>
          <cell r="E207">
            <v>4.4000000000000004E-2</v>
          </cell>
          <cell r="F207">
            <v>9.3200000000000005E-2</v>
          </cell>
          <cell r="G207">
            <v>5.7599999999999998E-2</v>
          </cell>
          <cell r="H207">
            <v>5.6399999999999999E-2</v>
          </cell>
          <cell r="I207">
            <v>6.480000000000001E-2</v>
          </cell>
          <cell r="J207">
            <v>6.88E-2</v>
          </cell>
          <cell r="K207">
            <v>8.4399999999999989E-2</v>
          </cell>
          <cell r="L207">
            <v>3.2400000000000005E-2</v>
          </cell>
        </row>
        <row r="290">
          <cell r="C290">
            <v>0.25</v>
          </cell>
          <cell r="D290">
            <v>0.19483870967741937</v>
          </cell>
          <cell r="E290">
            <v>0.19548387096774192</v>
          </cell>
          <cell r="F290">
            <v>0.13629032258064516</v>
          </cell>
          <cell r="G290">
            <v>9.6129032258064517E-2</v>
          </cell>
          <cell r="H290">
            <v>3.5967741935483868E-2</v>
          </cell>
          <cell r="I290">
            <v>7.4516129032258058E-2</v>
          </cell>
          <cell r="J290">
            <v>1.6774193548387096E-2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3EA5AB-22CD-4922-91D4-FC9BBD71ED85}">
  <sheetPr>
    <tabColor theme="5" tint="0.79998168889431442"/>
  </sheetPr>
  <dimension ref="A1:I76"/>
  <sheetViews>
    <sheetView tabSelected="1" zoomScale="80" zoomScaleNormal="80" workbookViewId="0">
      <selection activeCell="E7" sqref="E7"/>
    </sheetView>
  </sheetViews>
  <sheetFormatPr defaultRowHeight="14.5" x14ac:dyDescent="0.35"/>
  <cols>
    <col min="1" max="1" width="17.26953125" style="1" customWidth="1"/>
    <col min="2" max="2" width="66.7265625" style="1" bestFit="1" customWidth="1"/>
    <col min="3" max="3" width="24.1796875" style="1" bestFit="1" customWidth="1"/>
    <col min="4" max="4" width="18.26953125" style="1" bestFit="1" customWidth="1"/>
    <col min="5" max="5" width="18.81640625" style="1" bestFit="1" customWidth="1"/>
    <col min="6" max="6" width="64.453125" style="1" customWidth="1"/>
    <col min="7" max="7" width="16" customWidth="1"/>
    <col min="8" max="8" width="12.7265625" customWidth="1"/>
    <col min="12" max="12" width="20" bestFit="1" customWidth="1"/>
  </cols>
  <sheetData>
    <row r="1" spans="1:6" x14ac:dyDescent="0.35">
      <c r="C1" s="1" t="s">
        <v>0</v>
      </c>
      <c r="E1" s="1" t="s">
        <v>1</v>
      </c>
    </row>
    <row r="2" spans="1:6" x14ac:dyDescent="0.35">
      <c r="A2" s="2" t="s">
        <v>2</v>
      </c>
      <c r="B2" s="3" t="s">
        <v>3</v>
      </c>
      <c r="C2" s="4" t="s">
        <v>4</v>
      </c>
      <c r="D2" s="5" t="s">
        <v>5</v>
      </c>
      <c r="E2" s="5" t="s">
        <v>6</v>
      </c>
      <c r="F2" s="6" t="s">
        <v>7</v>
      </c>
    </row>
    <row r="3" spans="1:6" x14ac:dyDescent="0.35">
      <c r="A3" s="7" t="s">
        <v>8</v>
      </c>
      <c r="B3" s="7" t="s">
        <v>9</v>
      </c>
      <c r="C3" s="8">
        <v>0.1540360221589169</v>
      </c>
      <c r="D3" s="9">
        <f>C3*480</f>
        <v>73.93729063628011</v>
      </c>
      <c r="E3" s="10">
        <f>'[1]Survey Results_ Assumptions'!D73</f>
        <v>5.7344827586206897E-2</v>
      </c>
      <c r="F3" s="11"/>
    </row>
    <row r="4" spans="1:6" x14ac:dyDescent="0.35">
      <c r="A4" s="7" t="s">
        <v>8</v>
      </c>
      <c r="B4" s="7" t="s">
        <v>10</v>
      </c>
      <c r="C4" s="8">
        <v>0.2059999814414431</v>
      </c>
      <c r="D4" s="9">
        <f t="shared" ref="D4:D28" si="0">C4*480</f>
        <v>98.879991091892691</v>
      </c>
      <c r="E4" s="10">
        <f>'[1]Survey Results_ Assumptions'!I73</f>
        <v>0.1123103448275862</v>
      </c>
      <c r="F4" s="11"/>
    </row>
    <row r="5" spans="1:6" x14ac:dyDescent="0.35">
      <c r="A5" s="20" t="s">
        <v>8</v>
      </c>
      <c r="B5" s="20" t="s">
        <v>11</v>
      </c>
      <c r="C5" s="21">
        <v>0.1540360221589169</v>
      </c>
      <c r="D5" s="22">
        <f>C5*480</f>
        <v>73.93729063628011</v>
      </c>
      <c r="E5" s="23">
        <f>'[1]Survey Results_ Assumptions'!H73</f>
        <v>0.32709655172413787</v>
      </c>
      <c r="F5" s="11" t="s">
        <v>12</v>
      </c>
    </row>
    <row r="6" spans="1:6" x14ac:dyDescent="0.35">
      <c r="A6" s="7" t="s">
        <v>8</v>
      </c>
      <c r="B6" s="7" t="s">
        <v>13</v>
      </c>
      <c r="C6" s="8">
        <v>9.0009000900089994E-2</v>
      </c>
      <c r="D6" s="9">
        <f t="shared" si="0"/>
        <v>43.204320432043197</v>
      </c>
      <c r="E6" s="10">
        <f>'[1]Survey Results_ Assumptions'!G73</f>
        <v>8.4206896551724142E-2</v>
      </c>
      <c r="F6" s="11" t="s">
        <v>14</v>
      </c>
    </row>
    <row r="7" spans="1:6" x14ac:dyDescent="0.35">
      <c r="A7" s="7" t="s">
        <v>8</v>
      </c>
      <c r="B7" s="7" t="s">
        <v>15</v>
      </c>
      <c r="C7" s="8">
        <v>7.1450444013473502E-2</v>
      </c>
      <c r="D7" s="9">
        <f t="shared" si="0"/>
        <v>34.296213126467279</v>
      </c>
      <c r="E7" s="10">
        <f>'[1]Survey Results_ Assumptions'!E73</f>
        <v>3.1541379310344828E-2</v>
      </c>
      <c r="F7" s="11"/>
    </row>
    <row r="8" spans="1:6" x14ac:dyDescent="0.35">
      <c r="A8" s="7" t="s">
        <v>8</v>
      </c>
      <c r="B8" s="7" t="s">
        <v>16</v>
      </c>
      <c r="C8" s="8">
        <v>6.1243237725834433E-2</v>
      </c>
      <c r="D8" s="9">
        <f t="shared" si="0"/>
        <v>29.396754108400529</v>
      </c>
      <c r="E8" s="10">
        <f>'[1]Survey Results_ Assumptions'!J73</f>
        <v>3.2958620689655167E-2</v>
      </c>
      <c r="F8" s="11"/>
    </row>
    <row r="9" spans="1:6" x14ac:dyDescent="0.35">
      <c r="A9" s="7" t="s">
        <v>8</v>
      </c>
      <c r="B9" s="7" t="s">
        <v>17</v>
      </c>
      <c r="C9" s="8">
        <v>4.9180175749533712E-2</v>
      </c>
      <c r="D9" s="9">
        <f t="shared" si="0"/>
        <v>23.606484359776182</v>
      </c>
      <c r="E9" s="10">
        <f>'[1]Survey Results_ Assumptions'!M73</f>
        <v>3.5586206896551724E-2</v>
      </c>
      <c r="F9" s="11"/>
    </row>
    <row r="10" spans="1:6" x14ac:dyDescent="0.35">
      <c r="A10" s="7" t="s">
        <v>8</v>
      </c>
      <c r="B10" s="7" t="s">
        <v>18</v>
      </c>
      <c r="C10" s="8">
        <v>4.0828825150556289E-2</v>
      </c>
      <c r="D10" s="9">
        <f t="shared" si="0"/>
        <v>19.597836072267018</v>
      </c>
      <c r="E10" s="10">
        <f>'[1]Survey Results_ Assumptions'!C73</f>
        <v>1.4255172413793102E-2</v>
      </c>
      <c r="F10" s="11"/>
    </row>
    <row r="11" spans="1:6" x14ac:dyDescent="0.35">
      <c r="A11" s="7" t="s">
        <v>8</v>
      </c>
      <c r="B11" s="7" t="s">
        <v>19</v>
      </c>
      <c r="C11" s="8">
        <v>2.6909907485593916E-2</v>
      </c>
      <c r="D11" s="9">
        <f t="shared" si="0"/>
        <v>12.91675559308508</v>
      </c>
      <c r="E11" s="10">
        <f>'[1]Survey Results_ Assumptions'!L73</f>
        <v>2.193103448275862E-2</v>
      </c>
      <c r="F11" s="11"/>
    </row>
    <row r="12" spans="1:6" x14ac:dyDescent="0.35">
      <c r="A12" s="7" t="s">
        <v>8</v>
      </c>
      <c r="B12" s="7" t="s">
        <v>20</v>
      </c>
      <c r="C12" s="8">
        <v>2.0414412575278144E-2</v>
      </c>
      <c r="D12" s="9">
        <f t="shared" si="0"/>
        <v>9.7989180361335091</v>
      </c>
      <c r="E12" s="10">
        <f>'[1]Survey Results_ Assumptions'!K73</f>
        <v>2.7758620689655174E-2</v>
      </c>
      <c r="F12" s="11"/>
    </row>
    <row r="13" spans="1:6" x14ac:dyDescent="0.35">
      <c r="A13" s="7" t="s">
        <v>8</v>
      </c>
      <c r="B13" s="7" t="s">
        <v>21</v>
      </c>
      <c r="C13" s="8">
        <v>1.3918917664962371E-2</v>
      </c>
      <c r="D13" s="9">
        <f t="shared" si="0"/>
        <v>6.6810804791819383</v>
      </c>
      <c r="E13" s="10">
        <f>'[1]Survey Results_ Assumptions'!N73</f>
        <v>1.9448275862068965E-3</v>
      </c>
      <c r="F13" s="11"/>
    </row>
    <row r="14" spans="1:6" x14ac:dyDescent="0.35">
      <c r="A14" s="7" t="s">
        <v>8</v>
      </c>
      <c r="B14" s="7" t="s">
        <v>22</v>
      </c>
      <c r="C14" s="8">
        <v>1.2063061976300722E-2</v>
      </c>
      <c r="D14" s="9">
        <f t="shared" si="0"/>
        <v>5.7902697486243468</v>
      </c>
      <c r="E14" s="10">
        <f>'[1]Survey Results_ Assumptions'!F73</f>
        <v>1.306896551724138E-2</v>
      </c>
      <c r="F14" s="11"/>
    </row>
    <row r="15" spans="1:6" x14ac:dyDescent="0.35">
      <c r="A15" s="7" t="s">
        <v>8</v>
      </c>
      <c r="B15" s="7" t="s">
        <v>23</v>
      </c>
      <c r="C15" s="8">
        <f>10%</f>
        <v>0.1</v>
      </c>
      <c r="D15" s="9">
        <f t="shared" si="0"/>
        <v>48</v>
      </c>
      <c r="E15" s="10">
        <f>'[1]Survey Results_ Assumptions'!Q73</f>
        <v>6.5000000000000002E-2</v>
      </c>
      <c r="F15" s="11"/>
    </row>
    <row r="16" spans="1:6" x14ac:dyDescent="0.35">
      <c r="A16" s="7" t="s">
        <v>8</v>
      </c>
      <c r="B16" s="7" t="s">
        <v>24</v>
      </c>
      <c r="C16" s="8"/>
      <c r="D16" s="9"/>
      <c r="E16" s="10">
        <f>'[1]Survey Results_ Assumptions'!O73</f>
        <v>0.13937931034482759</v>
      </c>
      <c r="F16" s="11"/>
    </row>
    <row r="17" spans="1:9" x14ac:dyDescent="0.35">
      <c r="A17" s="7" t="s">
        <v>8</v>
      </c>
      <c r="B17" s="7" t="s">
        <v>25</v>
      </c>
      <c r="C17" s="8"/>
      <c r="D17" s="9"/>
      <c r="E17" s="10">
        <f>'[1]Survey Results_ Assumptions'!P73</f>
        <v>1.8168965517241377E-2</v>
      </c>
      <c r="F17" s="11"/>
    </row>
    <row r="18" spans="1:9" x14ac:dyDescent="0.35">
      <c r="A18" s="7" t="s">
        <v>8</v>
      </c>
      <c r="B18" s="7" t="s">
        <v>26</v>
      </c>
      <c r="C18" s="8"/>
      <c r="D18" s="9"/>
      <c r="E18" s="10">
        <f>'[1]Survey Results_ Assumptions'!R73</f>
        <v>1.7448275862068964E-2</v>
      </c>
      <c r="F18" s="11"/>
    </row>
    <row r="19" spans="1:9" s="25" customFormat="1" x14ac:dyDescent="0.35">
      <c r="A19" s="20" t="s">
        <v>27</v>
      </c>
      <c r="B19" s="20" t="s">
        <v>28</v>
      </c>
      <c r="C19" s="21">
        <f>100%-SUM(C20:C28)</f>
        <v>0.40499999999999992</v>
      </c>
      <c r="D19" s="20">
        <f t="shared" si="0"/>
        <v>194.39999999999995</v>
      </c>
      <c r="E19" s="23">
        <f>'[1]Survey Results_ Assumptions'!C16</f>
        <v>0.35936249999999997</v>
      </c>
      <c r="F19" s="24"/>
    </row>
    <row r="20" spans="1:9" s="25" customFormat="1" x14ac:dyDescent="0.35">
      <c r="A20" s="20" t="s">
        <v>27</v>
      </c>
      <c r="B20" s="20" t="s">
        <v>29</v>
      </c>
      <c r="C20" s="21">
        <v>0.38</v>
      </c>
      <c r="D20" s="20">
        <f t="shared" si="0"/>
        <v>182.4</v>
      </c>
      <c r="E20" s="23">
        <f>'[1]Survey Results_ Assumptions'!D16</f>
        <v>0.23328749999999998</v>
      </c>
      <c r="F20" s="26"/>
    </row>
    <row r="21" spans="1:9" x14ac:dyDescent="0.35">
      <c r="A21" s="7" t="s">
        <v>27</v>
      </c>
      <c r="B21" s="7" t="s">
        <v>30</v>
      </c>
      <c r="C21" s="8">
        <v>0.03</v>
      </c>
      <c r="D21" s="7">
        <f t="shared" si="0"/>
        <v>14.399999999999999</v>
      </c>
      <c r="E21" s="10">
        <f>'[1]Survey Results_ Assumptions'!E16</f>
        <v>1.2975E-2</v>
      </c>
      <c r="F21" s="11"/>
    </row>
    <row r="22" spans="1:9" x14ac:dyDescent="0.35">
      <c r="A22" s="7" t="s">
        <v>27</v>
      </c>
      <c r="B22" s="7" t="s">
        <v>31</v>
      </c>
      <c r="C22" s="8">
        <v>0.02</v>
      </c>
      <c r="D22" s="7">
        <f t="shared" si="0"/>
        <v>9.6</v>
      </c>
      <c r="E22" s="10">
        <f>'[1]Survey Results_ Assumptions'!F16</f>
        <v>3.2362500000000002E-2</v>
      </c>
      <c r="F22" s="11"/>
    </row>
    <row r="23" spans="1:9" x14ac:dyDescent="0.35">
      <c r="A23" s="7" t="s">
        <v>27</v>
      </c>
      <c r="B23" s="7" t="s">
        <v>32</v>
      </c>
      <c r="C23" s="8">
        <v>0.01</v>
      </c>
      <c r="D23" s="7">
        <f t="shared" si="0"/>
        <v>4.8</v>
      </c>
      <c r="E23" s="10">
        <f>'[1]Survey Results_ Assumptions'!G16</f>
        <v>1.52625E-2</v>
      </c>
      <c r="F23" s="11"/>
    </row>
    <row r="24" spans="1:9" x14ac:dyDescent="0.35">
      <c r="A24" s="7" t="s">
        <v>27</v>
      </c>
      <c r="B24" s="7" t="s">
        <v>33</v>
      </c>
      <c r="C24" s="8">
        <v>0.01</v>
      </c>
      <c r="D24" s="7">
        <f t="shared" si="0"/>
        <v>4.8</v>
      </c>
      <c r="E24" s="10">
        <f>'[1]Survey Results_ Assumptions'!I16</f>
        <v>5.212500000000001E-3</v>
      </c>
      <c r="F24" s="11"/>
    </row>
    <row r="25" spans="1:9" x14ac:dyDescent="0.35">
      <c r="A25" s="7" t="s">
        <v>27</v>
      </c>
      <c r="B25" s="7" t="s">
        <v>34</v>
      </c>
      <c r="C25" s="8">
        <v>0.01</v>
      </c>
      <c r="D25" s="7">
        <f t="shared" si="0"/>
        <v>4.8</v>
      </c>
      <c r="E25" s="10">
        <f>'[1]Survey Results_ Assumptions'!J16</f>
        <v>1.7400000000000002E-2</v>
      </c>
      <c r="F25" s="11"/>
    </row>
    <row r="26" spans="1:9" x14ac:dyDescent="0.35">
      <c r="A26" s="7" t="s">
        <v>27</v>
      </c>
      <c r="B26" s="7" t="s">
        <v>35</v>
      </c>
      <c r="C26" s="8">
        <f>D26/480</f>
        <v>2.5000000000000001E-2</v>
      </c>
      <c r="D26" s="7">
        <f>60/5</f>
        <v>12</v>
      </c>
      <c r="E26" s="10">
        <f>'[1]Survey Results_ Assumptions'!N16</f>
        <v>3.9600000000000003E-2</v>
      </c>
      <c r="F26" s="11"/>
    </row>
    <row r="27" spans="1:9" x14ac:dyDescent="0.35">
      <c r="A27" s="7" t="s">
        <v>27</v>
      </c>
      <c r="B27" s="7" t="s">
        <v>23</v>
      </c>
      <c r="C27" s="8">
        <v>0.1</v>
      </c>
      <c r="D27" s="7">
        <f>C27*480</f>
        <v>48</v>
      </c>
      <c r="E27" s="10">
        <f>'[1]Survey Results_ Assumptions'!P16</f>
        <v>0.1</v>
      </c>
      <c r="F27" s="11"/>
    </row>
    <row r="28" spans="1:9" x14ac:dyDescent="0.35">
      <c r="A28" s="7" t="s">
        <v>27</v>
      </c>
      <c r="B28" s="7" t="s">
        <v>36</v>
      </c>
      <c r="C28" s="8">
        <v>0.01</v>
      </c>
      <c r="D28" s="7">
        <f t="shared" si="0"/>
        <v>4.8</v>
      </c>
      <c r="E28" s="10">
        <f>'[1]Survey Results_ Assumptions'!K16</f>
        <v>2.22375E-2</v>
      </c>
      <c r="F28" s="11"/>
    </row>
    <row r="29" spans="1:9" x14ac:dyDescent="0.35">
      <c r="A29" s="7" t="s">
        <v>27</v>
      </c>
      <c r="B29" s="7" t="s">
        <v>37</v>
      </c>
      <c r="D29" s="7"/>
      <c r="E29" s="10">
        <f>'[1]Survey Results_ Assumptions'!L16</f>
        <v>8.1599999999999992E-2</v>
      </c>
      <c r="F29" s="11"/>
    </row>
    <row r="30" spans="1:9" x14ac:dyDescent="0.35">
      <c r="A30" s="7" t="s">
        <v>27</v>
      </c>
      <c r="B30" s="12" t="s">
        <v>38</v>
      </c>
      <c r="C30" s="8"/>
      <c r="D30" s="7"/>
      <c r="E30" s="10">
        <f>'[1]Survey Results_ Assumptions'!M16</f>
        <v>6.3899999999999998E-2</v>
      </c>
      <c r="F30" s="11"/>
    </row>
    <row r="31" spans="1:9" x14ac:dyDescent="0.35">
      <c r="A31" s="7" t="s">
        <v>27</v>
      </c>
      <c r="B31" s="7" t="s">
        <v>26</v>
      </c>
      <c r="C31" s="8"/>
      <c r="D31" s="7"/>
      <c r="E31" s="10">
        <f>'[1]Survey Results_ Assumptions'!O16</f>
        <v>7.4625000000000013E-3</v>
      </c>
      <c r="F31" s="11"/>
    </row>
    <row r="32" spans="1:9" s="25" customFormat="1" x14ac:dyDescent="0.35">
      <c r="A32" s="20" t="s">
        <v>39</v>
      </c>
      <c r="B32" s="27" t="s">
        <v>40</v>
      </c>
      <c r="C32" s="28">
        <v>0.25</v>
      </c>
      <c r="D32" s="29">
        <f t="shared" ref="D32:D38" si="1">480*C32</f>
        <v>120</v>
      </c>
      <c r="E32" s="28">
        <f>'[1]Survey Results_ Assumptions'!C290</f>
        <v>0.25</v>
      </c>
      <c r="F32" s="30"/>
      <c r="I32" s="31"/>
    </row>
    <row r="33" spans="1:6" s="25" customFormat="1" x14ac:dyDescent="0.35">
      <c r="A33" s="20" t="s">
        <v>39</v>
      </c>
      <c r="B33" s="27" t="s">
        <v>41</v>
      </c>
      <c r="C33" s="28">
        <v>0.3</v>
      </c>
      <c r="D33" s="29">
        <f t="shared" si="1"/>
        <v>144</v>
      </c>
      <c r="E33" s="28">
        <f>'[1]Survey Results_ Assumptions'!D290</f>
        <v>0.19483870967741937</v>
      </c>
      <c r="F33" s="30"/>
    </row>
    <row r="34" spans="1:6" s="25" customFormat="1" x14ac:dyDescent="0.35">
      <c r="A34" s="20" t="s">
        <v>39</v>
      </c>
      <c r="B34" s="27" t="s">
        <v>42</v>
      </c>
      <c r="C34" s="28">
        <v>0.1</v>
      </c>
      <c r="D34" s="29">
        <f>480*C34</f>
        <v>48</v>
      </c>
      <c r="E34" s="28">
        <f>'[1]Survey Results_ Assumptions'!E290</f>
        <v>0.19548387096774192</v>
      </c>
      <c r="F34" s="30"/>
    </row>
    <row r="35" spans="1:6" x14ac:dyDescent="0.35">
      <c r="A35" s="7" t="s">
        <v>39</v>
      </c>
      <c r="B35" s="13" t="s">
        <v>43</v>
      </c>
      <c r="C35" s="14">
        <v>0.1</v>
      </c>
      <c r="D35" s="15">
        <f t="shared" si="1"/>
        <v>48</v>
      </c>
      <c r="E35" s="16">
        <f>'[1]Survey Results_ Assumptions'!F290</f>
        <v>0.13629032258064516</v>
      </c>
      <c r="F35" s="17"/>
    </row>
    <row r="36" spans="1:6" x14ac:dyDescent="0.35">
      <c r="A36" s="7" t="s">
        <v>39</v>
      </c>
      <c r="B36" s="13" t="s">
        <v>44</v>
      </c>
      <c r="C36" s="14">
        <v>0.1</v>
      </c>
      <c r="D36" s="15">
        <f t="shared" si="1"/>
        <v>48</v>
      </c>
      <c r="E36" s="16">
        <f>'[1]Survey Results_ Assumptions'!G290</f>
        <v>9.6129032258064517E-2</v>
      </c>
      <c r="F36" s="17"/>
    </row>
    <row r="37" spans="1:6" x14ac:dyDescent="0.35">
      <c r="A37" s="7" t="s">
        <v>39</v>
      </c>
      <c r="B37" s="13" t="s">
        <v>45</v>
      </c>
      <c r="C37" s="14">
        <v>0.05</v>
      </c>
      <c r="D37" s="15">
        <f>480*C37</f>
        <v>24</v>
      </c>
      <c r="E37" s="16"/>
      <c r="F37" s="17" t="s">
        <v>46</v>
      </c>
    </row>
    <row r="38" spans="1:6" x14ac:dyDescent="0.35">
      <c r="A38" s="7" t="s">
        <v>39</v>
      </c>
      <c r="B38" s="7" t="s">
        <v>23</v>
      </c>
      <c r="C38" s="14">
        <v>0.1</v>
      </c>
      <c r="D38" s="15">
        <f t="shared" si="1"/>
        <v>48</v>
      </c>
      <c r="E38" s="16">
        <f>'[1]Survey Results_ Assumptions'!I290</f>
        <v>7.4516129032258058E-2</v>
      </c>
      <c r="F38" s="17"/>
    </row>
    <row r="39" spans="1:6" x14ac:dyDescent="0.35">
      <c r="A39" s="7" t="s">
        <v>39</v>
      </c>
      <c r="B39" s="7" t="s">
        <v>47</v>
      </c>
      <c r="C39" s="14"/>
      <c r="D39" s="15"/>
      <c r="E39" s="16">
        <f>'[1]Survey Results_ Assumptions'!H290</f>
        <v>3.5967741935483868E-2</v>
      </c>
      <c r="F39" s="17"/>
    </row>
    <row r="40" spans="1:6" x14ac:dyDescent="0.35">
      <c r="A40" s="7" t="s">
        <v>39</v>
      </c>
      <c r="B40" s="7" t="s">
        <v>26</v>
      </c>
      <c r="C40" s="14"/>
      <c r="D40" s="15"/>
      <c r="E40" s="16">
        <f>'[1]Survey Results_ Assumptions'!J290</f>
        <v>1.6774193548387096E-2</v>
      </c>
      <c r="F40" s="17"/>
    </row>
    <row r="41" spans="1:6" x14ac:dyDescent="0.35">
      <c r="A41" s="7" t="s">
        <v>48</v>
      </c>
      <c r="B41" s="13" t="s">
        <v>49</v>
      </c>
      <c r="C41" s="14">
        <v>0.17</v>
      </c>
      <c r="D41" s="15">
        <f>480*C41</f>
        <v>81.600000000000009</v>
      </c>
      <c r="E41" s="14">
        <f>'[1]Survey Results_ Assumptions'!C144</f>
        <v>0.15259259259259259</v>
      </c>
      <c r="F41" s="11"/>
    </row>
    <row r="42" spans="1:6" s="25" customFormat="1" x14ac:dyDescent="0.35">
      <c r="A42" s="20" t="s">
        <v>48</v>
      </c>
      <c r="B42" s="27" t="s">
        <v>50</v>
      </c>
      <c r="C42" s="28">
        <v>0.2</v>
      </c>
      <c r="D42" s="29">
        <f t="shared" ref="D42:D47" si="2">480*C42</f>
        <v>96</v>
      </c>
      <c r="E42" s="28">
        <f>'[1]Survey Results_ Assumptions'!D144</f>
        <v>0.17851851851851852</v>
      </c>
      <c r="F42" s="24"/>
    </row>
    <row r="43" spans="1:6" x14ac:dyDescent="0.35">
      <c r="A43" s="7" t="s">
        <v>48</v>
      </c>
      <c r="B43" s="13" t="s">
        <v>51</v>
      </c>
      <c r="C43" s="14">
        <v>0.13</v>
      </c>
      <c r="D43" s="15">
        <f t="shared" si="2"/>
        <v>62.400000000000006</v>
      </c>
      <c r="E43" s="14"/>
      <c r="F43" s="11"/>
    </row>
    <row r="44" spans="1:6" s="25" customFormat="1" x14ac:dyDescent="0.35">
      <c r="A44" s="20" t="s">
        <v>48</v>
      </c>
      <c r="B44" s="27" t="s">
        <v>52</v>
      </c>
      <c r="C44" s="28">
        <v>0.1</v>
      </c>
      <c r="D44" s="29">
        <f t="shared" si="2"/>
        <v>48</v>
      </c>
      <c r="E44" s="28">
        <f>'[1]Survey Results_ Assumptions'!E144</f>
        <v>0.1788888888888889</v>
      </c>
      <c r="F44" s="24"/>
    </row>
    <row r="45" spans="1:6" x14ac:dyDescent="0.35">
      <c r="A45" s="7" t="s">
        <v>48</v>
      </c>
      <c r="B45" s="13" t="s">
        <v>53</v>
      </c>
      <c r="C45" s="14">
        <f>19%+5%</f>
        <v>0.24</v>
      </c>
      <c r="D45" s="15">
        <f>480*C45</f>
        <v>115.19999999999999</v>
      </c>
      <c r="E45" s="14">
        <f>'[1]Survey Results_ Assumptions'!G144</f>
        <v>0.1277777777777778</v>
      </c>
      <c r="F45" s="11"/>
    </row>
    <row r="46" spans="1:6" x14ac:dyDescent="0.35">
      <c r="A46" s="7" t="s">
        <v>48</v>
      </c>
      <c r="B46" s="7" t="s">
        <v>23</v>
      </c>
      <c r="C46" s="14">
        <v>0.1</v>
      </c>
      <c r="D46" s="15">
        <f t="shared" si="2"/>
        <v>48</v>
      </c>
      <c r="E46" s="14">
        <f>'[1]Survey Results_ Assumptions'!J144</f>
        <v>8.2962962962962961E-2</v>
      </c>
      <c r="F46" s="11"/>
    </row>
    <row r="47" spans="1:6" x14ac:dyDescent="0.35">
      <c r="A47" s="7" t="s">
        <v>48</v>
      </c>
      <c r="B47" s="13" t="s">
        <v>54</v>
      </c>
      <c r="C47" s="14">
        <v>0.06</v>
      </c>
      <c r="D47" s="15">
        <f t="shared" si="2"/>
        <v>28.799999999999997</v>
      </c>
      <c r="E47" s="14"/>
      <c r="F47" s="11"/>
    </row>
    <row r="48" spans="1:6" x14ac:dyDescent="0.35">
      <c r="A48" s="7" t="s">
        <v>48</v>
      </c>
      <c r="B48" s="12" t="s">
        <v>38</v>
      </c>
      <c r="C48" s="14"/>
      <c r="D48" s="15"/>
      <c r="E48" s="14">
        <f>'[1]Survey Results_ Assumptions'!I144</f>
        <v>5.4814814814814816E-2</v>
      </c>
      <c r="F48" s="11"/>
    </row>
    <row r="49" spans="1:6" x14ac:dyDescent="0.35">
      <c r="A49" s="7" t="s">
        <v>48</v>
      </c>
      <c r="B49" s="7" t="s">
        <v>26</v>
      </c>
      <c r="C49" s="14"/>
      <c r="D49" s="15"/>
      <c r="E49" s="14">
        <f>'[1]Survey Results_ Assumptions'!K144</f>
        <v>3.3333333333333333E-2</v>
      </c>
      <c r="F49" s="11"/>
    </row>
    <row r="50" spans="1:6" s="25" customFormat="1" x14ac:dyDescent="0.35">
      <c r="A50" s="20" t="s">
        <v>55</v>
      </c>
      <c r="B50" s="32" t="s">
        <v>56</v>
      </c>
      <c r="C50" s="33">
        <v>0.35</v>
      </c>
      <c r="D50" s="32">
        <v>170</v>
      </c>
      <c r="E50" s="32"/>
      <c r="F50" s="24"/>
    </row>
    <row r="51" spans="1:6" s="25" customFormat="1" x14ac:dyDescent="0.35">
      <c r="A51" s="20" t="s">
        <v>55</v>
      </c>
      <c r="B51" s="32" t="s">
        <v>57</v>
      </c>
      <c r="C51" s="33">
        <v>0.24</v>
      </c>
      <c r="D51" s="32">
        <v>115</v>
      </c>
      <c r="E51" s="32"/>
      <c r="F51" s="24"/>
    </row>
    <row r="52" spans="1:6" x14ac:dyDescent="0.35">
      <c r="A52" s="7" t="s">
        <v>55</v>
      </c>
      <c r="B52" s="18" t="s">
        <v>58</v>
      </c>
      <c r="C52" s="19">
        <v>0.09</v>
      </c>
      <c r="D52" s="18">
        <v>45</v>
      </c>
      <c r="E52" s="18"/>
      <c r="F52" s="11"/>
    </row>
    <row r="53" spans="1:6" x14ac:dyDescent="0.35">
      <c r="A53" s="7" t="s">
        <v>55</v>
      </c>
      <c r="B53" s="18" t="s">
        <v>59</v>
      </c>
      <c r="C53" s="19">
        <v>7.0000000000000007E-2</v>
      </c>
      <c r="D53" s="18">
        <v>35</v>
      </c>
      <c r="E53" s="18"/>
      <c r="F53" s="11"/>
    </row>
    <row r="54" spans="1:6" x14ac:dyDescent="0.35">
      <c r="A54" s="7" t="s">
        <v>55</v>
      </c>
      <c r="B54" s="7" t="s">
        <v>23</v>
      </c>
      <c r="C54" s="19">
        <v>0.1</v>
      </c>
      <c r="D54" s="18">
        <v>30</v>
      </c>
      <c r="E54" s="18"/>
      <c r="F54" s="11"/>
    </row>
    <row r="55" spans="1:6" x14ac:dyDescent="0.35">
      <c r="A55" s="7" t="s">
        <v>55</v>
      </c>
      <c r="B55" s="18" t="s">
        <v>60</v>
      </c>
      <c r="C55" s="19">
        <v>0.05</v>
      </c>
      <c r="D55" s="18">
        <v>25</v>
      </c>
      <c r="E55" s="18"/>
      <c r="F55" s="11"/>
    </row>
    <row r="56" spans="1:6" x14ac:dyDescent="0.35">
      <c r="A56" s="7" t="s">
        <v>55</v>
      </c>
      <c r="B56" s="18" t="s">
        <v>61</v>
      </c>
      <c r="C56" s="19">
        <v>0.04</v>
      </c>
      <c r="D56" s="18">
        <v>20</v>
      </c>
      <c r="E56" s="18"/>
      <c r="F56" s="11"/>
    </row>
    <row r="57" spans="1:6" x14ac:dyDescent="0.35">
      <c r="A57" s="7" t="s">
        <v>55</v>
      </c>
      <c r="B57" s="18" t="s">
        <v>62</v>
      </c>
      <c r="C57" s="19">
        <v>0.03</v>
      </c>
      <c r="D57" s="18">
        <v>15</v>
      </c>
      <c r="E57" s="18"/>
      <c r="F57" s="11"/>
    </row>
    <row r="58" spans="1:6" x14ac:dyDescent="0.35">
      <c r="A58" s="7" t="s">
        <v>55</v>
      </c>
      <c r="B58" s="18" t="s">
        <v>63</v>
      </c>
      <c r="C58" s="19">
        <v>0.03</v>
      </c>
      <c r="D58" s="18">
        <v>15</v>
      </c>
      <c r="E58" s="18"/>
      <c r="F58" s="11"/>
    </row>
    <row r="59" spans="1:6" s="25" customFormat="1" x14ac:dyDescent="0.35">
      <c r="A59" s="20" t="s">
        <v>64</v>
      </c>
      <c r="B59" s="32" t="s">
        <v>56</v>
      </c>
      <c r="C59" s="33">
        <v>0.47</v>
      </c>
      <c r="D59" s="32">
        <v>225</v>
      </c>
      <c r="E59" s="32"/>
      <c r="F59" s="24"/>
    </row>
    <row r="60" spans="1:6" x14ac:dyDescent="0.35">
      <c r="A60" s="7" t="s">
        <v>64</v>
      </c>
      <c r="B60" s="18" t="s">
        <v>58</v>
      </c>
      <c r="C60" s="19">
        <v>0.13</v>
      </c>
      <c r="D60" s="18">
        <v>60</v>
      </c>
      <c r="E60" s="18"/>
      <c r="F60" s="11"/>
    </row>
    <row r="61" spans="1:6" x14ac:dyDescent="0.35">
      <c r="A61" s="7" t="s">
        <v>64</v>
      </c>
      <c r="B61" s="18" t="s">
        <v>59</v>
      </c>
      <c r="C61" s="19">
        <v>0.13</v>
      </c>
      <c r="D61" s="18">
        <v>60</v>
      </c>
      <c r="E61" s="18"/>
      <c r="F61" s="11"/>
    </row>
    <row r="62" spans="1:6" x14ac:dyDescent="0.35">
      <c r="A62" s="7" t="s">
        <v>64</v>
      </c>
      <c r="B62" s="18" t="s">
        <v>60</v>
      </c>
      <c r="C62" s="19">
        <v>0.09</v>
      </c>
      <c r="D62" s="18">
        <v>45</v>
      </c>
      <c r="E62" s="18"/>
      <c r="F62" s="11"/>
    </row>
    <row r="63" spans="1:6" x14ac:dyDescent="0.35">
      <c r="A63" s="7" t="s">
        <v>64</v>
      </c>
      <c r="B63" s="7" t="s">
        <v>23</v>
      </c>
      <c r="C63" s="19">
        <v>0.1</v>
      </c>
      <c r="D63" s="18">
        <v>30</v>
      </c>
      <c r="E63" s="18"/>
      <c r="F63" s="11"/>
    </row>
    <row r="64" spans="1:6" x14ac:dyDescent="0.35">
      <c r="A64" s="7" t="s">
        <v>64</v>
      </c>
      <c r="B64" s="18" t="s">
        <v>62</v>
      </c>
      <c r="C64" s="19">
        <v>0.05</v>
      </c>
      <c r="D64" s="18">
        <v>25</v>
      </c>
      <c r="E64" s="18"/>
      <c r="F64" s="11"/>
    </row>
    <row r="65" spans="1:6" x14ac:dyDescent="0.35">
      <c r="A65" s="7" t="s">
        <v>64</v>
      </c>
      <c r="B65" s="18" t="s">
        <v>63</v>
      </c>
      <c r="C65" s="19">
        <v>0.03</v>
      </c>
      <c r="D65" s="18">
        <v>10</v>
      </c>
      <c r="E65" s="18"/>
      <c r="F65" s="11"/>
    </row>
    <row r="66" spans="1:6" x14ac:dyDescent="0.35">
      <c r="A66" s="7" t="s">
        <v>65</v>
      </c>
      <c r="B66" s="7" t="s">
        <v>66</v>
      </c>
      <c r="C66" s="14"/>
      <c r="D66" s="15"/>
      <c r="E66" s="14">
        <f>'[1]Survey Results_ Assumptions'!C207</f>
        <v>0.31679999999999997</v>
      </c>
      <c r="F66" s="11"/>
    </row>
    <row r="67" spans="1:6" x14ac:dyDescent="0.35">
      <c r="A67" s="7" t="s">
        <v>65</v>
      </c>
      <c r="B67" s="7" t="s">
        <v>67</v>
      </c>
      <c r="C67" s="14"/>
      <c r="D67" s="15"/>
      <c r="E67" s="14">
        <f>'[1]Survey Results_ Assumptions'!D207</f>
        <v>0.18160000000000001</v>
      </c>
      <c r="F67" s="11"/>
    </row>
    <row r="68" spans="1:6" x14ac:dyDescent="0.35">
      <c r="A68" s="7" t="s">
        <v>65</v>
      </c>
      <c r="B68" s="7" t="s">
        <v>68</v>
      </c>
      <c r="C68" s="14"/>
      <c r="D68" s="15"/>
      <c r="E68" s="14">
        <f>'[1]Survey Results_ Assumptions'!E207</f>
        <v>4.4000000000000004E-2</v>
      </c>
      <c r="F68" s="11"/>
    </row>
    <row r="69" spans="1:6" x14ac:dyDescent="0.35">
      <c r="A69" s="7" t="s">
        <v>65</v>
      </c>
      <c r="B69" s="7" t="s">
        <v>69</v>
      </c>
      <c r="C69" s="14"/>
      <c r="D69" s="15"/>
      <c r="E69" s="14">
        <f>'[1]Survey Results_ Assumptions'!F207</f>
        <v>9.3200000000000005E-2</v>
      </c>
      <c r="F69" s="11"/>
    </row>
    <row r="70" spans="1:6" x14ac:dyDescent="0.35">
      <c r="A70" s="7" t="s">
        <v>65</v>
      </c>
      <c r="B70" s="7" t="s">
        <v>70</v>
      </c>
      <c r="C70" s="14"/>
      <c r="D70" s="15"/>
      <c r="E70" s="14">
        <f>'[1]Survey Results_ Assumptions'!G207</f>
        <v>5.7599999999999998E-2</v>
      </c>
      <c r="F70" s="11"/>
    </row>
    <row r="71" spans="1:6" x14ac:dyDescent="0.35">
      <c r="A71" s="7" t="s">
        <v>65</v>
      </c>
      <c r="B71" s="7" t="s">
        <v>25</v>
      </c>
      <c r="C71" s="14"/>
      <c r="D71" s="15"/>
      <c r="E71" s="14">
        <f>'[1]Survey Results_ Assumptions'!H207</f>
        <v>5.6399999999999999E-2</v>
      </c>
      <c r="F71" s="11"/>
    </row>
    <row r="72" spans="1:6" x14ac:dyDescent="0.35">
      <c r="A72" s="7" t="s">
        <v>65</v>
      </c>
      <c r="B72" s="7" t="s">
        <v>71</v>
      </c>
      <c r="C72" s="14"/>
      <c r="D72" s="15"/>
      <c r="E72" s="14">
        <f>'[1]Survey Results_ Assumptions'!I207</f>
        <v>6.480000000000001E-2</v>
      </c>
      <c r="F72" s="11"/>
    </row>
    <row r="73" spans="1:6" x14ac:dyDescent="0.35">
      <c r="A73" s="7" t="s">
        <v>65</v>
      </c>
      <c r="B73" s="7" t="s">
        <v>72</v>
      </c>
      <c r="C73" s="14"/>
      <c r="D73" s="15"/>
      <c r="E73" s="14">
        <f>'[1]Survey Results_ Assumptions'!J207</f>
        <v>6.88E-2</v>
      </c>
      <c r="F73" s="11"/>
    </row>
    <row r="74" spans="1:6" x14ac:dyDescent="0.35">
      <c r="A74" s="7" t="s">
        <v>65</v>
      </c>
      <c r="B74" s="7" t="s">
        <v>73</v>
      </c>
      <c r="C74" s="14"/>
      <c r="D74" s="15"/>
      <c r="E74" s="14">
        <f>'[1]Survey Results_ Assumptions'!K207</f>
        <v>8.4399999999999989E-2</v>
      </c>
      <c r="F74" s="11"/>
    </row>
    <row r="75" spans="1:6" x14ac:dyDescent="0.35">
      <c r="A75" s="7" t="s">
        <v>65</v>
      </c>
      <c r="B75" s="7" t="s">
        <v>74</v>
      </c>
      <c r="C75" s="14"/>
      <c r="D75" s="15"/>
      <c r="E75" s="14">
        <f>'[1]Survey Results_ Assumptions'!L207</f>
        <v>3.2400000000000005E-2</v>
      </c>
      <c r="F75" s="11"/>
    </row>
    <row r="76" spans="1:6" x14ac:dyDescent="0.35">
      <c r="B76" s="12"/>
    </row>
  </sheetData>
  <autoFilter ref="A2:D75" xr:uid="{93C8B60A-0083-497F-9BBA-154A6735421D}"/>
  <pageMargins left="0.7" right="0.7" top="0.75" bottom="0.75" header="0.3" footer="0.3"/>
  <headerFooter>
    <oddFooter>&amp;L_x000D_&amp;1#&amp;"Aptos"&amp;10&amp;K000000 Classification: Limited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dlc_DocId xmlns="a685f29f-8b29-4906-aa28-45c903b9817c">NVTPNQ4PUNZN-187013513-12</_dlc_DocId>
    <_dlc_DocIdUrl xmlns="a685f29f-8b29-4906-aa28-45c903b9817c">
      <Url>https://mckinsey.sharepoint.com/sites/spe-int-7r4ka1jda9/_layouts/15/DocIdRedir.aspx?ID=NVTPNQ4PUNZN-187013513-12</Url>
      <Description>NVTPNQ4PUNZN-187013513-12</Description>
    </_dlc_DocIdUr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05762DEC12AEA479E66D30C69FBF331" ma:contentTypeVersion="8" ma:contentTypeDescription="Create a new document." ma:contentTypeScope="" ma:versionID="e41b985cb3c5bf02c2c93f97fb1d22f5">
  <xsd:schema xmlns:xsd="http://www.w3.org/2001/XMLSchema" xmlns:xs="http://www.w3.org/2001/XMLSchema" xmlns:p="http://schemas.microsoft.com/office/2006/metadata/properties" xmlns:ns2="a685f29f-8b29-4906-aa28-45c903b9817c" xmlns:ns3="8479f66d-0fab-4573-bb34-2faaa6c56896" targetNamespace="http://schemas.microsoft.com/office/2006/metadata/properties" ma:root="true" ma:fieldsID="c40f5f20b68abb4c69bcdcf3b641f6ce" ns2:_="" ns3:_="">
    <xsd:import namespace="a685f29f-8b29-4906-aa28-45c903b9817c"/>
    <xsd:import namespace="8479f66d-0fab-4573-bb34-2faaa6c56896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85f29f-8b29-4906-aa28-45c903b9817c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479f66d-0fab-4573-bb34-2faaa6c5689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7FB6C7-82FE-4C43-AD02-B832116C4CBA}">
  <ds:schemaRefs>
    <ds:schemaRef ds:uri="http://schemas.microsoft.com/office/2006/metadata/properties"/>
    <ds:schemaRef ds:uri="http://schemas.microsoft.com/office/infopath/2007/PartnerControls"/>
    <ds:schemaRef ds:uri="a685f29f-8b29-4906-aa28-45c903b9817c"/>
  </ds:schemaRefs>
</ds:datastoreItem>
</file>

<file path=customXml/itemProps2.xml><?xml version="1.0" encoding="utf-8"?>
<ds:datastoreItem xmlns:ds="http://schemas.openxmlformats.org/officeDocument/2006/customXml" ds:itemID="{7AD7F7AF-59F4-449A-9AAC-6933DD905090}"/>
</file>

<file path=customXml/itemProps3.xml><?xml version="1.0" encoding="utf-8"?>
<ds:datastoreItem xmlns:ds="http://schemas.openxmlformats.org/officeDocument/2006/customXml" ds:itemID="{CAAED692-2705-44A1-AEB9-799A6DE8B5CD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97814BED-A302-4AF7-841E-D847B5B3D24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Clean time allocation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Claudia Benshimol</dc:creator>
  <cp:keywords/>
  <dc:description/>
  <cp:lastModifiedBy>Emanuele D'Avolio</cp:lastModifiedBy>
  <cp:revision/>
  <dcterms:created xsi:type="dcterms:W3CDTF">2026-01-29T01:23:29Z</dcterms:created>
  <dcterms:modified xsi:type="dcterms:W3CDTF">2026-03-28T05:10:46Z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3303d7c-e5a3-4cc8-90eb-69bfd7570ac4_Removed">
    <vt:lpwstr>False</vt:lpwstr>
  </property>
  <property fmtid="{D5CDD505-2E9C-101B-9397-08002B2CF9AE}" pid="3" name="MSIP_Label_83303d7c-e5a3-4cc8-90eb-69bfd7570ac4_ActionId">
    <vt:lpwstr>5c4bb0e1-d108-4cc1-a5f0-0c2c2e0ca57c</vt:lpwstr>
  </property>
  <property fmtid="{D5CDD505-2E9C-101B-9397-08002B2CF9AE}" pid="4" name="MSIP_Label_83303d7c-e5a3-4cc8-90eb-69bfd7570ac4_Name">
    <vt:lpwstr>Client \ Client Confidential</vt:lpwstr>
  </property>
  <property fmtid="{D5CDD505-2E9C-101B-9397-08002B2CF9AE}" pid="5" name="MSIP_Label_83303d7c-e5a3-4cc8-90eb-69bfd7570ac4_SetDate">
    <vt:lpwstr>2026-01-29T15:20:46Z</vt:lpwstr>
  </property>
  <property fmtid="{D5CDD505-2E9C-101B-9397-08002B2CF9AE}" pid="6" name="MSIP_Label_83303d7c-e5a3-4cc8-90eb-69bfd7570ac4_SiteId">
    <vt:lpwstr>cc8936bc-9382-4fff-87cb-6f55999549e7</vt:lpwstr>
  </property>
  <property fmtid="{D5CDD505-2E9C-101B-9397-08002B2CF9AE}" pid="7" name="MSIP_Label_83303d7c-e5a3-4cc8-90eb-69bfd7570ac4_Enabled">
    <vt:lpwstr>True</vt:lpwstr>
  </property>
  <property fmtid="{D5CDD505-2E9C-101B-9397-08002B2CF9AE}" pid="8" name="ContentTypeId">
    <vt:lpwstr>0x010100905762DEC12AEA479E66D30C69FBF331</vt:lpwstr>
  </property>
  <property fmtid="{D5CDD505-2E9C-101B-9397-08002B2CF9AE}" pid="9" name="_dlc_DocIdItemGuid">
    <vt:lpwstr>b66a7514-ad8c-4566-9e27-6704a653a434</vt:lpwstr>
  </property>
  <property fmtid="{D5CDD505-2E9C-101B-9397-08002B2CF9AE}" pid="10" name="MSIP_Label_83303d7c-e5a3-4cc8-90eb-69bfd7570ac4_Parent">
    <vt:lpwstr>41a75552-f860-45e1-90d5-c0b4fc08c5e4</vt:lpwstr>
  </property>
  <property fmtid="{D5CDD505-2E9C-101B-9397-08002B2CF9AE}" pid="11" name="MSIP_Label_83303d7c-e5a3-4cc8-90eb-69bfd7570ac4_Extended_MSFT_Method">
    <vt:lpwstr>Standard</vt:lpwstr>
  </property>
  <property fmtid="{D5CDD505-2E9C-101B-9397-08002B2CF9AE}" pid="12" name="MSIP_Label_41a75552-f860-45e1-90d5-c0b4fc08c5e4_Enabled">
    <vt:lpwstr>True</vt:lpwstr>
  </property>
  <property fmtid="{D5CDD505-2E9C-101B-9397-08002B2CF9AE}" pid="13" name="MSIP_Label_41a75552-f860-45e1-90d5-c0b4fc08c5e4_SiteId">
    <vt:lpwstr>cc8936bc-9382-4fff-87cb-6f55999549e7</vt:lpwstr>
  </property>
  <property fmtid="{D5CDD505-2E9C-101B-9397-08002B2CF9AE}" pid="14" name="MSIP_Label_41a75552-f860-45e1-90d5-c0b4fc08c5e4_SetDate">
    <vt:lpwstr>2026-01-29T15:20:46Z</vt:lpwstr>
  </property>
  <property fmtid="{D5CDD505-2E9C-101B-9397-08002B2CF9AE}" pid="15" name="MSIP_Label_41a75552-f860-45e1-90d5-c0b4fc08c5e4_Name">
    <vt:lpwstr>Client</vt:lpwstr>
  </property>
  <property fmtid="{D5CDD505-2E9C-101B-9397-08002B2CF9AE}" pid="16" name="MSIP_Label_41a75552-f860-45e1-90d5-c0b4fc08c5e4_ActionId">
    <vt:lpwstr>4ab77d33-3232-462c-ba14-ed9a5b2e2402</vt:lpwstr>
  </property>
  <property fmtid="{D5CDD505-2E9C-101B-9397-08002B2CF9AE}" pid="17" name="MSIP_Label_41a75552-f860-45e1-90d5-c0b4fc08c5e4_Extended_MSFT_Method">
    <vt:lpwstr>Standard</vt:lpwstr>
  </property>
  <property fmtid="{D5CDD505-2E9C-101B-9397-08002B2CF9AE}" pid="18" name="Sensitivity">
    <vt:lpwstr>Client \ Client Confidential Client</vt:lpwstr>
  </property>
</Properties>
</file>